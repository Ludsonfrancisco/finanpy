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dso\Documents\projects\claude_code\finanpy\referencias\"/>
    </mc:Choice>
  </mc:AlternateContent>
  <xr:revisionPtr revIDLastSave="0" documentId="8_{BFA32A98-2CCB-4E4A-814A-1F1F3647C8AF}" xr6:coauthVersionLast="47" xr6:coauthVersionMax="47" xr10:uidLastSave="{00000000-0000-0000-0000-000000000000}"/>
  <bookViews>
    <workbookView xWindow="-120" yWindow="-120" windowWidth="29040" windowHeight="15720" xr2:uid="{FFE10055-474E-4C2D-9C60-EBC0C74DA92B}"/>
  </bookViews>
  <sheets>
    <sheet name="gastos" sheetId="1" r:id="rId1"/>
  </sheets>
  <externalReferences>
    <externalReference r:id="rId2"/>
  </externalReferences>
  <definedNames>
    <definedName name="Soma_Despesa">[1]Análises!$X$4</definedName>
    <definedName name="Soma_Receita">[1]Análises!$W$4</definedName>
    <definedName name="Soma_Saldo">[1]Análises!$Y$4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8" i="1" l="1"/>
  <c r="L28" i="1"/>
  <c r="J28" i="1"/>
  <c r="H28" i="1"/>
  <c r="F28" i="1"/>
  <c r="D28" i="1"/>
  <c r="F29" i="1" l="1"/>
  <c r="F30" i="1" s="1"/>
  <c r="H29" i="1"/>
  <c r="H30" i="1" s="1"/>
  <c r="D29" i="1"/>
  <c r="D30" i="1" s="1"/>
  <c r="J29" i="1"/>
  <c r="J30" i="1" s="1"/>
  <c r="L29" i="1"/>
  <c r="L30" i="1" s="1"/>
  <c r="N29" i="1"/>
  <c r="N30" i="1" s="1"/>
</calcChain>
</file>

<file path=xl/sharedStrings.xml><?xml version="1.0" encoding="utf-8"?>
<sst xmlns="http://schemas.openxmlformats.org/spreadsheetml/2006/main" count="62" uniqueCount="29">
  <si>
    <t>DATA</t>
  </si>
  <si>
    <t>NOME</t>
  </si>
  <si>
    <t>SETOR</t>
  </si>
  <si>
    <t>MAR</t>
  </si>
  <si>
    <t>ABR</t>
  </si>
  <si>
    <t>MAI</t>
  </si>
  <si>
    <t>JUN</t>
  </si>
  <si>
    <t>JUL</t>
  </si>
  <si>
    <t>AGO</t>
  </si>
  <si>
    <t>CARTAO LUDSON NUBANK</t>
  </si>
  <si>
    <t>(D) Cartões</t>
  </si>
  <si>
    <t>P</t>
  </si>
  <si>
    <t>CARTAO LUDSON INTER</t>
  </si>
  <si>
    <t>CARTAO LUDSON ITAU</t>
  </si>
  <si>
    <t>CARTAO LUDSON SANTANDER</t>
  </si>
  <si>
    <t>CARTAO LUDSON MERCADO PAGO</t>
  </si>
  <si>
    <t>CARTAO ERICKA INTER</t>
  </si>
  <si>
    <t>CARTAO ERICKA NUBANK</t>
  </si>
  <si>
    <t>PLANO DE SAUDE</t>
  </si>
  <si>
    <t>(D) Transporte</t>
  </si>
  <si>
    <t>INTERNET</t>
  </si>
  <si>
    <t>LUZ</t>
  </si>
  <si>
    <t>(D) Comunicação</t>
  </si>
  <si>
    <t>AGUA</t>
  </si>
  <si>
    <t>ALIMENTACAO (SUPERMERCADO)</t>
  </si>
  <si>
    <t>EMPRESTIMO LUCIANEIA</t>
  </si>
  <si>
    <t>PAGO</t>
  </si>
  <si>
    <t>FALTA PAGAR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</si>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</sst>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sz val="11"/>
      <color theme="0" tint="-0.1499984740745262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7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4" fontId="0" fillId="5" borderId="1" xfId="1" applyFont="1" applyFill="1" applyBorder="1" applyAlignment="1">
      <alignment horizontal="center" vertical="center"/>
    </xf>
    <xf numFmtId="44" fontId="3" fillId="3" borderId="1" xfId="1" applyFont="1" applyFill="1" applyBorder="1" applyAlignment="1">
      <alignment horizontal="center" vertical="center"/>
    </xf>
    <xf numFmtId="44" fontId="0" fillId="3" borderId="1" xfId="1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0" xfId="0" applyFill="1"/>
    <xf numFmtId="44" fontId="0" fillId="0" borderId="0" xfId="1" applyFont="1" applyBorder="1"/>
    <xf numFmtId="44" fontId="3" fillId="0" borderId="0" xfId="1" applyFont="1" applyBorder="1"/>
    <xf numFmtId="44" fontId="3" fillId="3" borderId="0" xfId="1" applyFont="1" applyFill="1" applyBorder="1"/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44" fontId="5" fillId="0" borderId="0" xfId="1" applyFont="1" applyAlignment="1">
      <alignment vertical="center"/>
    </xf>
    <xf numFmtId="44" fontId="6" fillId="0" borderId="0" xfId="1" applyFont="1" applyAlignment="1">
      <alignment vertical="center"/>
    </xf>
    <xf numFmtId="44" fontId="6" fillId="3" borderId="0" xfId="1" applyFont="1" applyFill="1" applyAlignment="1">
      <alignment vertical="center"/>
    </xf>
    <xf numFmtId="44" fontId="0" fillId="6" borderId="0" xfId="1" applyFont="1" applyFill="1" applyBorder="1"/>
    <xf numFmtId="44" fontId="3" fillId="6" borderId="0" xfId="1" applyFont="1" applyFill="1" applyBorder="1"/>
    <xf numFmtId="44" fontId="0" fillId="0" borderId="0" xfId="0" applyNumberFormat="1"/>
    <xf numFmtId="0" fontId="3" fillId="0" borderId="0" xfId="0" applyFont="1"/>
    <xf numFmtId="0" fontId="3" fillId="3" borderId="0" xfId="0" applyFont="1" applyFill="1"/>
    <xf numFmtId="44" fontId="0" fillId="6" borderId="0" xfId="0" applyNumberFormat="1" applyFill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e9b521527cfde8c/Documentos/Finan&#231;a%20Pessoal/Controle%20Financeiro.xlsx" TargetMode="External"/><Relationship Id="rId1" Type="http://schemas.openxmlformats.org/officeDocument/2006/relationships/externalLinkPath" Target="https://d.docs.live.net/6e9b521527cfde8c/Documentos/Finan&#231;a%20Pessoal/Controle%20Financei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Análises"/>
      <sheetName val="Lançamentos"/>
      <sheetName val="gastos"/>
    </sheetNames>
    <sheetDataSet>
      <sheetData sheetId="0"/>
      <sheetData sheetId="1">
        <row r="4">
          <cell r="Y4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Integração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1AE4C-84EC-4576-9401-AC3B84C71300}">
  <dimension ref="A2:O37"/>
  <sheetViews>
    <sheetView tabSelected="1" workbookViewId="0">
      <selection activeCell="D21" sqref="D21"/>
    </sheetView>
  </sheetViews>
  <sheetFormatPr defaultRowHeight="15"/>
  <cols>
    <col min="1" max="1" width="9.140625" style="11"/>
    <col min="2" max="2" width="31.7109375" bestFit="1" customWidth="1"/>
    <col min="3" max="3" width="22.28515625" customWidth="1"/>
    <col min="4" max="4" width="12.85546875" customWidth="1"/>
    <col min="5" max="5" width="4.28515625" style="24" customWidth="1"/>
    <col min="6" max="6" width="12.85546875" customWidth="1"/>
    <col min="7" max="7" width="4.28515625" style="24" customWidth="1"/>
    <col min="8" max="8" width="12.85546875" customWidth="1"/>
    <col min="9" max="9" width="4.28515625" style="24" customWidth="1"/>
    <col min="10" max="10" width="12.85546875" customWidth="1"/>
    <col min="11" max="11" width="4.28515625" style="24" customWidth="1"/>
    <col min="12" max="12" width="12.85546875" customWidth="1"/>
    <col min="13" max="13" width="4.28515625" style="24" customWidth="1"/>
    <col min="14" max="14" width="12.85546875" customWidth="1"/>
    <col min="15" max="15" width="4.28515625" style="25" customWidth="1"/>
  </cols>
  <sheetData>
    <row r="2" spans="1:15">
      <c r="A2" s="1" t="s">
        <v>0</v>
      </c>
      <c r="B2" s="1" t="s">
        <v>1</v>
      </c>
      <c r="C2" s="1" t="s">
        <v>2</v>
      </c>
      <c r="D2" s="1" t="s">
        <v>3</v>
      </c>
      <c r="E2" s="2"/>
      <c r="F2" s="1" t="s">
        <v>4</v>
      </c>
      <c r="G2" s="2"/>
      <c r="H2" s="1" t="s">
        <v>5</v>
      </c>
      <c r="I2" s="2"/>
      <c r="J2" s="1" t="s">
        <v>6</v>
      </c>
      <c r="K2" s="2"/>
      <c r="L2" s="1" t="s">
        <v>7</v>
      </c>
      <c r="M2" s="2"/>
      <c r="N2" s="1" t="s">
        <v>8</v>
      </c>
      <c r="O2" s="3"/>
    </row>
    <row r="3" spans="1:15">
      <c r="A3" s="4">
        <v>10</v>
      </c>
      <c r="B3" s="5" t="s">
        <v>9</v>
      </c>
      <c r="C3" s="6" t="s">
        <v>10</v>
      </c>
      <c r="D3" s="7">
        <v>1617.37</v>
      </c>
      <c r="E3" s="8" t="s">
        <v>11</v>
      </c>
      <c r="F3" s="7">
        <v>2038.06</v>
      </c>
      <c r="G3" s="8" t="s">
        <v>11</v>
      </c>
      <c r="H3" s="9">
        <v>400</v>
      </c>
      <c r="I3" s="8"/>
      <c r="J3" s="9">
        <v>190</v>
      </c>
      <c r="K3" s="8"/>
      <c r="L3" s="9">
        <v>190</v>
      </c>
      <c r="M3" s="8"/>
      <c r="N3" s="9">
        <v>190</v>
      </c>
      <c r="O3" s="8"/>
    </row>
    <row r="4" spans="1:15">
      <c r="A4" s="4">
        <v>10</v>
      </c>
      <c r="B4" s="5" t="s">
        <v>12</v>
      </c>
      <c r="C4" s="6" t="s">
        <v>10</v>
      </c>
      <c r="D4" s="7">
        <v>2905.88</v>
      </c>
      <c r="E4" s="8" t="s">
        <v>11</v>
      </c>
      <c r="F4" s="7">
        <v>3266.91</v>
      </c>
      <c r="G4" s="8" t="s">
        <v>11</v>
      </c>
      <c r="H4" s="9">
        <v>873.61</v>
      </c>
      <c r="I4" s="8"/>
      <c r="J4" s="9">
        <v>410</v>
      </c>
      <c r="K4" s="8"/>
      <c r="L4" s="9">
        <v>80</v>
      </c>
      <c r="M4" s="8"/>
      <c r="N4" s="9">
        <v>80</v>
      </c>
      <c r="O4" s="8"/>
    </row>
    <row r="5" spans="1:15">
      <c r="A5" s="4">
        <v>15</v>
      </c>
      <c r="B5" s="5" t="s">
        <v>13</v>
      </c>
      <c r="C5" s="6" t="s">
        <v>10</v>
      </c>
      <c r="D5" s="7">
        <v>470.76</v>
      </c>
      <c r="E5" s="8" t="s">
        <v>11</v>
      </c>
      <c r="F5" s="9">
        <v>450.14</v>
      </c>
      <c r="G5" s="8"/>
      <c r="H5" s="9"/>
      <c r="I5" s="8"/>
      <c r="J5" s="9"/>
      <c r="K5" s="8"/>
      <c r="L5" s="9"/>
      <c r="M5" s="8"/>
      <c r="N5" s="9"/>
      <c r="O5" s="8"/>
    </row>
    <row r="6" spans="1:15">
      <c r="A6" s="4">
        <v>15</v>
      </c>
      <c r="B6" s="5" t="s">
        <v>14</v>
      </c>
      <c r="C6" s="6" t="s">
        <v>10</v>
      </c>
      <c r="D6" s="7">
        <v>507.93</v>
      </c>
      <c r="E6" s="8" t="s">
        <v>11</v>
      </c>
      <c r="F6" s="9">
        <v>320</v>
      </c>
      <c r="G6" s="8"/>
      <c r="H6" s="9"/>
      <c r="I6" s="8"/>
      <c r="J6" s="9"/>
      <c r="K6" s="8"/>
      <c r="L6" s="9"/>
      <c r="M6" s="8"/>
      <c r="N6" s="9"/>
      <c r="O6" s="8"/>
    </row>
    <row r="7" spans="1:15">
      <c r="A7" s="4">
        <v>10</v>
      </c>
      <c r="B7" s="5" t="s">
        <v>15</v>
      </c>
      <c r="C7" s="6" t="s">
        <v>10</v>
      </c>
      <c r="D7" s="7">
        <v>190</v>
      </c>
      <c r="E7" s="8" t="s">
        <v>11</v>
      </c>
      <c r="F7" s="7">
        <v>156.59</v>
      </c>
      <c r="G7" s="8" t="s">
        <v>11</v>
      </c>
      <c r="H7" s="9">
        <v>138</v>
      </c>
      <c r="I7" s="8"/>
      <c r="J7" s="9">
        <v>138</v>
      </c>
      <c r="K7" s="8"/>
      <c r="L7" s="9">
        <v>138</v>
      </c>
      <c r="M7" s="8"/>
      <c r="N7" s="9">
        <v>138</v>
      </c>
      <c r="O7" s="8"/>
    </row>
    <row r="8" spans="1:15">
      <c r="A8" s="4">
        <v>10</v>
      </c>
      <c r="B8" s="6" t="s">
        <v>16</v>
      </c>
      <c r="C8" s="6" t="s">
        <v>10</v>
      </c>
      <c r="D8" s="7">
        <v>986</v>
      </c>
      <c r="E8" s="8" t="s">
        <v>11</v>
      </c>
      <c r="F8" s="7">
        <v>935.46</v>
      </c>
      <c r="G8" s="8" t="s">
        <v>11</v>
      </c>
      <c r="H8" s="9">
        <v>940</v>
      </c>
      <c r="I8" s="8"/>
      <c r="J8" s="9">
        <v>145</v>
      </c>
      <c r="K8" s="8"/>
      <c r="L8" s="9">
        <v>90</v>
      </c>
      <c r="M8" s="8"/>
      <c r="N8" s="9">
        <v>90</v>
      </c>
      <c r="O8" s="8"/>
    </row>
    <row r="9" spans="1:15">
      <c r="A9" s="4">
        <v>10</v>
      </c>
      <c r="B9" s="5" t="s">
        <v>17</v>
      </c>
      <c r="C9" s="6" t="s">
        <v>10</v>
      </c>
      <c r="D9" s="7">
        <v>1430</v>
      </c>
      <c r="E9" s="8" t="s">
        <v>11</v>
      </c>
      <c r="F9" s="7">
        <v>4940</v>
      </c>
      <c r="G9" s="8" t="s">
        <v>11</v>
      </c>
      <c r="H9" s="9">
        <v>4900</v>
      </c>
      <c r="I9" s="8"/>
      <c r="J9" s="9">
        <v>140</v>
      </c>
      <c r="K9" s="8"/>
      <c r="L9" s="9">
        <v>140</v>
      </c>
      <c r="M9" s="8"/>
      <c r="N9" s="9">
        <v>60</v>
      </c>
      <c r="O9" s="8"/>
    </row>
    <row r="10" spans="1:15">
      <c r="A10" s="4">
        <v>10</v>
      </c>
      <c r="B10" s="6" t="s">
        <v>18</v>
      </c>
      <c r="C10" s="6" t="s">
        <v>19</v>
      </c>
      <c r="D10" s="7">
        <v>786</v>
      </c>
      <c r="E10" s="8" t="s">
        <v>11</v>
      </c>
      <c r="F10" s="7">
        <v>787.44</v>
      </c>
      <c r="G10" s="8" t="s">
        <v>11</v>
      </c>
      <c r="H10" s="9">
        <v>786</v>
      </c>
      <c r="I10" s="8"/>
      <c r="J10" s="9">
        <v>786</v>
      </c>
      <c r="K10" s="8"/>
      <c r="L10" s="9">
        <v>786</v>
      </c>
      <c r="M10" s="8"/>
      <c r="N10" s="9">
        <v>786</v>
      </c>
      <c r="O10" s="8"/>
    </row>
    <row r="11" spans="1:15">
      <c r="A11" s="4">
        <v>10</v>
      </c>
      <c r="B11" s="5" t="s">
        <v>20</v>
      </c>
      <c r="C11" s="6" t="s">
        <v>10</v>
      </c>
      <c r="D11" s="7">
        <v>119</v>
      </c>
      <c r="E11" s="8" t="s">
        <v>11</v>
      </c>
      <c r="F11" s="7">
        <v>119</v>
      </c>
      <c r="G11" s="8" t="s">
        <v>11</v>
      </c>
      <c r="H11" s="9">
        <v>119</v>
      </c>
      <c r="I11" s="8"/>
      <c r="J11" s="9">
        <v>119</v>
      </c>
      <c r="K11" s="8"/>
      <c r="L11" s="9">
        <v>119</v>
      </c>
      <c r="M11" s="8"/>
      <c r="N11" s="9">
        <v>119</v>
      </c>
      <c r="O11" s="8"/>
    </row>
    <row r="12" spans="1:15">
      <c r="A12" s="4">
        <v>5</v>
      </c>
      <c r="B12" s="5" t="s">
        <v>21</v>
      </c>
      <c r="C12" s="5" t="s">
        <v>22</v>
      </c>
      <c r="D12" s="7">
        <v>840</v>
      </c>
      <c r="E12" s="8" t="s">
        <v>11</v>
      </c>
      <c r="F12" s="9">
        <v>600</v>
      </c>
      <c r="G12" s="8"/>
      <c r="H12" s="9">
        <v>250</v>
      </c>
      <c r="I12" s="8"/>
      <c r="J12" s="9">
        <v>250</v>
      </c>
      <c r="K12" s="8"/>
      <c r="L12" s="9">
        <v>250</v>
      </c>
      <c r="M12" s="8"/>
      <c r="N12" s="9">
        <v>250</v>
      </c>
      <c r="O12" s="8"/>
    </row>
    <row r="13" spans="1:15">
      <c r="A13" s="4">
        <v>5</v>
      </c>
      <c r="B13" s="6" t="s">
        <v>23</v>
      </c>
      <c r="C13" s="6" t="s">
        <v>10</v>
      </c>
      <c r="D13" s="7">
        <v>255.68</v>
      </c>
      <c r="E13" s="8" t="s">
        <v>11</v>
      </c>
      <c r="F13" s="7">
        <v>117.46</v>
      </c>
      <c r="G13" s="8" t="s">
        <v>11</v>
      </c>
      <c r="H13" s="9">
        <v>150</v>
      </c>
      <c r="I13" s="8"/>
      <c r="J13" s="9">
        <v>150</v>
      </c>
      <c r="K13" s="8"/>
      <c r="L13" s="9">
        <v>150</v>
      </c>
      <c r="M13" s="8"/>
      <c r="N13" s="9">
        <v>150</v>
      </c>
      <c r="O13" s="8"/>
    </row>
    <row r="14" spans="1:15">
      <c r="A14" s="4"/>
      <c r="B14" s="5" t="s">
        <v>24</v>
      </c>
      <c r="C14" s="6" t="s">
        <v>10</v>
      </c>
      <c r="D14" s="9"/>
      <c r="E14" s="8"/>
      <c r="F14" s="9"/>
      <c r="G14" s="8"/>
      <c r="H14" s="9">
        <v>1300</v>
      </c>
      <c r="I14" s="8"/>
      <c r="J14" s="9">
        <v>1300</v>
      </c>
      <c r="K14" s="8"/>
      <c r="L14" s="9">
        <v>1300</v>
      </c>
      <c r="M14" s="8"/>
      <c r="N14" s="9">
        <v>1300</v>
      </c>
      <c r="O14" s="8"/>
    </row>
    <row r="15" spans="1:15">
      <c r="A15" s="4">
        <v>5</v>
      </c>
      <c r="B15" s="6" t="s">
        <v>25</v>
      </c>
      <c r="C15" s="5"/>
      <c r="D15" s="9"/>
      <c r="E15" s="8"/>
      <c r="F15" s="9"/>
      <c r="G15" s="8"/>
      <c r="H15" s="9">
        <v>4000</v>
      </c>
      <c r="I15" s="8"/>
      <c r="J15" s="9"/>
      <c r="K15" s="8"/>
      <c r="L15" s="9"/>
      <c r="M15" s="8"/>
      <c r="N15" s="9"/>
      <c r="O15" s="8"/>
    </row>
    <row r="16" spans="1:15">
      <c r="A16" s="4"/>
      <c r="B16" s="6"/>
      <c r="C16" s="6"/>
      <c r="D16" s="9"/>
      <c r="E16" s="8"/>
      <c r="F16" s="9"/>
      <c r="G16" s="8"/>
      <c r="H16" s="9"/>
      <c r="I16" s="8"/>
      <c r="J16" s="9"/>
      <c r="K16" s="8"/>
      <c r="L16" s="9"/>
      <c r="M16" s="8"/>
      <c r="N16" s="9"/>
      <c r="O16" s="8"/>
    </row>
    <row r="17" spans="1:15">
      <c r="A17" s="4"/>
      <c r="B17" s="6"/>
      <c r="C17" s="6"/>
      <c r="D17" s="9"/>
      <c r="E17" s="8"/>
      <c r="F17" s="9"/>
      <c r="G17" s="8"/>
      <c r="H17" s="9"/>
      <c r="I17" s="8"/>
      <c r="J17" s="9"/>
      <c r="K17" s="8"/>
      <c r="L17" s="9"/>
      <c r="M17" s="8"/>
      <c r="N17" s="9"/>
      <c r="O17" s="8"/>
    </row>
    <row r="18" spans="1:15">
      <c r="A18" s="10"/>
      <c r="B18" s="5"/>
      <c r="C18" s="6"/>
      <c r="D18" s="9"/>
      <c r="E18" s="8"/>
      <c r="F18" s="9"/>
      <c r="G18" s="8"/>
      <c r="H18" s="9"/>
      <c r="I18" s="8"/>
      <c r="J18" s="9"/>
      <c r="K18" s="8"/>
      <c r="L18" s="9"/>
      <c r="M18" s="8"/>
      <c r="N18" s="9"/>
      <c r="O18" s="8"/>
    </row>
    <row r="19" spans="1:15">
      <c r="D19" s="12"/>
      <c r="E19" s="13"/>
      <c r="F19" s="12"/>
      <c r="G19" s="13"/>
      <c r="H19" s="12"/>
      <c r="I19" s="13"/>
      <c r="J19" s="12"/>
      <c r="K19" s="13"/>
      <c r="L19" s="12"/>
      <c r="M19" s="13"/>
      <c r="N19" s="12"/>
      <c r="O19" s="14"/>
    </row>
    <row r="20" spans="1:15">
      <c r="D20" s="12"/>
      <c r="E20" s="13"/>
      <c r="F20" s="12"/>
      <c r="G20" s="13"/>
      <c r="H20" s="12"/>
      <c r="I20" s="13"/>
      <c r="J20" s="12"/>
      <c r="K20" s="13"/>
      <c r="L20" s="12"/>
      <c r="M20" s="13"/>
      <c r="N20" s="12"/>
      <c r="O20" s="14"/>
    </row>
    <row r="21" spans="1:15">
      <c r="D21" s="12"/>
      <c r="E21" s="13"/>
      <c r="F21" s="12"/>
      <c r="G21" s="13"/>
      <c r="H21" s="12"/>
      <c r="I21" s="13"/>
      <c r="J21" s="12"/>
      <c r="K21" s="13"/>
      <c r="L21" s="12"/>
      <c r="M21" s="13"/>
      <c r="N21" s="12"/>
      <c r="O21" s="14"/>
    </row>
    <row r="22" spans="1:15">
      <c r="D22" s="12"/>
      <c r="E22" s="13"/>
      <c r="F22" s="12"/>
      <c r="G22" s="13"/>
      <c r="H22" s="12"/>
      <c r="I22" s="13"/>
      <c r="J22" s="12"/>
      <c r="K22" s="13"/>
      <c r="L22" s="12"/>
      <c r="M22" s="13"/>
      <c r="N22" s="12"/>
      <c r="O22" s="14"/>
    </row>
    <row r="23" spans="1:15">
      <c r="D23" s="12"/>
      <c r="E23" s="13"/>
      <c r="F23" s="12"/>
      <c r="G23" s="13"/>
      <c r="H23" s="12"/>
      <c r="I23" s="13"/>
      <c r="J23" s="12"/>
      <c r="K23" s="13"/>
      <c r="L23" s="12"/>
      <c r="M23" s="13"/>
      <c r="N23" s="12"/>
      <c r="O23" s="14"/>
    </row>
    <row r="24" spans="1:15" hidden="1">
      <c r="D24" s="12"/>
      <c r="E24" s="13"/>
      <c r="F24" s="12"/>
      <c r="G24" s="13"/>
      <c r="H24" s="12"/>
      <c r="I24" s="13"/>
      <c r="J24" s="12"/>
      <c r="K24" s="13"/>
      <c r="L24" s="12"/>
      <c r="M24" s="13"/>
      <c r="N24" s="12"/>
      <c r="O24" s="14"/>
    </row>
    <row r="25" spans="1:15" hidden="1">
      <c r="D25" s="12"/>
      <c r="E25" s="13"/>
      <c r="F25" s="12"/>
      <c r="G25" s="13"/>
      <c r="H25" s="12"/>
      <c r="I25" s="13"/>
      <c r="J25" s="12"/>
      <c r="K25" s="13"/>
      <c r="L25" s="12"/>
      <c r="M25" s="13"/>
      <c r="N25" s="12"/>
      <c r="O25" s="14"/>
    </row>
    <row r="26" spans="1:15" hidden="1">
      <c r="D26" s="12"/>
      <c r="E26" s="13"/>
      <c r="F26" s="12"/>
      <c r="G26" s="13"/>
      <c r="H26" s="12"/>
      <c r="I26" s="13"/>
      <c r="J26" s="12"/>
      <c r="K26" s="13"/>
      <c r="L26" s="12"/>
      <c r="M26" s="13"/>
      <c r="N26" s="12"/>
      <c r="O26" s="14"/>
    </row>
    <row r="27" spans="1:15" hidden="1">
      <c r="D27" s="15" t="s">
        <v>3</v>
      </c>
      <c r="E27" s="16"/>
      <c r="F27" s="15" t="s">
        <v>4</v>
      </c>
      <c r="G27" s="16"/>
      <c r="H27" s="15" t="s">
        <v>5</v>
      </c>
      <c r="I27" s="16"/>
      <c r="J27" s="15" t="s">
        <v>6</v>
      </c>
      <c r="K27" s="16"/>
      <c r="L27" s="15" t="s">
        <v>7</v>
      </c>
      <c r="M27" s="16"/>
      <c r="N27" s="15" t="s">
        <v>8</v>
      </c>
      <c r="O27" s="17"/>
    </row>
    <row r="28" spans="1:15" hidden="1">
      <c r="B28" t="s">
        <v>26</v>
      </c>
      <c r="D28" s="18">
        <f>SUMIF(E:E,"P",D:D)</f>
        <v>10108.620000000001</v>
      </c>
      <c r="E28" s="13"/>
      <c r="F28" s="18">
        <f>SUMIF(G:G,"P",F:F)</f>
        <v>12360.92</v>
      </c>
      <c r="G28" s="19"/>
      <c r="H28" s="18">
        <f>SUMIF(I:I,"P",H:H)</f>
        <v>0</v>
      </c>
      <c r="I28" s="13"/>
      <c r="J28" s="18">
        <f>SUMIF(K:K,"P",J:J)</f>
        <v>0</v>
      </c>
      <c r="K28" s="13"/>
      <c r="L28" s="18">
        <f>SUMIF(M:M,"P",L:L)</f>
        <v>0</v>
      </c>
      <c r="M28" s="13"/>
      <c r="N28" s="18">
        <f>SUMIF(P:P,"P",N:N)</f>
        <v>0</v>
      </c>
      <c r="O28" s="20"/>
    </row>
    <row r="29" spans="1:15" hidden="1">
      <c r="B29" t="s">
        <v>27</v>
      </c>
      <c r="D29" s="21">
        <f>SUM(D3:D26)-D28</f>
        <v>0</v>
      </c>
      <c r="E29" s="22"/>
      <c r="F29" s="21">
        <f>SUM(F3:F26)-F28</f>
        <v>1370.1399999999994</v>
      </c>
      <c r="G29" s="22"/>
      <c r="H29" s="21">
        <f>SUM(H3:H26)-H28</f>
        <v>13856.61</v>
      </c>
      <c r="I29" s="22"/>
      <c r="J29" s="21">
        <f>SUM(J3:J26)-J28</f>
        <v>3628</v>
      </c>
      <c r="K29" s="22"/>
      <c r="L29" s="21">
        <f>SUM(L3:L26)-L28</f>
        <v>3243</v>
      </c>
      <c r="M29" s="22"/>
      <c r="N29" s="21">
        <f>SUM(N3:N26)-N28</f>
        <v>3163</v>
      </c>
      <c r="O29" s="14"/>
    </row>
    <row r="30" spans="1:15" hidden="1">
      <c r="B30" t="s">
        <v>28</v>
      </c>
      <c r="D30" s="23">
        <f>SUM(D28:D29)</f>
        <v>10108.620000000001</v>
      </c>
      <c r="F30" s="23">
        <f>SUM(F28:F29)</f>
        <v>13731.06</v>
      </c>
      <c r="H30" s="23">
        <f>SUM(H28:H29)</f>
        <v>13856.61</v>
      </c>
      <c r="J30" s="23">
        <f>SUM(J28:J29)</f>
        <v>3628</v>
      </c>
      <c r="L30" s="23">
        <f>SUM(L28:L29)</f>
        <v>3243</v>
      </c>
      <c r="N30" s="23">
        <f>SUM(N28:N29)</f>
        <v>3163</v>
      </c>
    </row>
    <row r="31" spans="1:15" hidden="1"/>
    <row r="32" spans="1:15" hidden="1">
      <c r="F32" s="23"/>
    </row>
    <row r="33" spans="4:15" hidden="1">
      <c r="D33" s="26"/>
    </row>
    <row r="34" spans="4:15" hidden="1">
      <c r="D34" s="27"/>
      <c r="E34" s="28"/>
      <c r="F34" s="27">
        <v>1</v>
      </c>
      <c r="G34" s="28"/>
      <c r="H34" s="27">
        <v>1</v>
      </c>
      <c r="I34" s="28"/>
      <c r="J34" s="27">
        <v>1</v>
      </c>
      <c r="K34" s="28"/>
      <c r="L34" s="27">
        <v>1</v>
      </c>
      <c r="M34" s="28"/>
      <c r="N34" s="27">
        <v>1</v>
      </c>
      <c r="O34" s="29"/>
    </row>
    <row r="35" spans="4:15" hidden="1"/>
    <row r="36" spans="4:15" hidden="1"/>
    <row r="37" spans="4:15" hidden="1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Ludson Francisco</dc:creator>
  <cp:lastModifiedBy>Ludson Francisco</cp:lastModifiedBy>
  <dcterms:created xsi:type="dcterms:W3CDTF">2026-04-21T14:57:07Z</dcterms:created>
  <dcterms:modified xsi:type="dcterms:W3CDTF">2026-04-21T14:57:38Z</dcterms:modified>
</cp:coreProperties>
</file>